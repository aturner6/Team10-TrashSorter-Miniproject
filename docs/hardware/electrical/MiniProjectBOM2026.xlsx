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5cOW1SSNmxlGpc5a0plBUphgyp6FI4WTOrfHiu5TiMA="/>
    </ext>
  </extLst>
</workbook>
</file>

<file path=xl/sharedStrings.xml><?xml version="1.0" encoding="utf-8"?>
<sst xmlns="http://schemas.openxmlformats.org/spreadsheetml/2006/main" count="77" uniqueCount="46">
  <si>
    <t>Index</t>
  </si>
  <si>
    <t>Distribution</t>
  </si>
  <si>
    <t>Description</t>
  </si>
  <si>
    <t>Part No.</t>
  </si>
  <si>
    <t>QTY</t>
  </si>
  <si>
    <t>Unit</t>
  </si>
  <si>
    <t>Total</t>
  </si>
  <si>
    <t>Vendor</t>
  </si>
  <si>
    <t>URL</t>
  </si>
  <si>
    <t>Alt source</t>
  </si>
  <si>
    <t>Alt URL</t>
  </si>
  <si>
    <t xml:space="preserve"> </t>
  </si>
  <si>
    <t>Per student</t>
  </si>
  <si>
    <t>Seeed XIAO ESP32S3 pre-soldered</t>
  </si>
  <si>
    <t>1597-102010634-ND</t>
  </si>
  <si>
    <t>Digikey</t>
  </si>
  <si>
    <t>https://www.digikey.com/en/products/detail/seeed-technology-co-ltd/102010634/26553885</t>
  </si>
  <si>
    <t>Seeed (CA)</t>
  </si>
  <si>
    <t>https://www.seeedstudio.com/Seeed-Studio-XIAO-ESP32S3-Pre-Soldered-p-6334.html</t>
  </si>
  <si>
    <t>Multi-color LED</t>
  </si>
  <si>
    <t>1830-1014-ND</t>
  </si>
  <si>
    <t>https://www.digikey.com/en/products/detail/inolux/INL-5TB4URGB60/7604616</t>
  </si>
  <si>
    <t>Breadboard</t>
  </si>
  <si>
    <t>1188-BREADBOARD-1-ND</t>
  </si>
  <si>
    <t>https://www.digikey.com/en/products/detail/olimex-ltd/BREADBOARD-1/21662422</t>
  </si>
  <si>
    <t>Per student (2)</t>
  </si>
  <si>
    <t>Tactile breadboard switch</t>
  </si>
  <si>
    <t>EG2533CT-ND</t>
  </si>
  <si>
    <t>https://www.digikey.com/en/products/detail/e-switch/TL59AF160Q/390534</t>
  </si>
  <si>
    <t>Per student (3)</t>
  </si>
  <si>
    <t>Resistors 220 ohm</t>
  </si>
  <si>
    <t>CF14JT220RCT-ND</t>
  </si>
  <si>
    <t>https://www.digikey.com/en/products/detail/CF14JT220R/CF14JT220RCT-ND/1830334</t>
  </si>
  <si>
    <t>Per team</t>
  </si>
  <si>
    <t>Battery holder 3 AAA cells</t>
  </si>
  <si>
    <t>1428-1151-ND</t>
  </si>
  <si>
    <t>https://www.digikey.com/en/products/detail/adafruit-industries-llc/727/5353611</t>
  </si>
  <si>
    <t>Stepper motor</t>
  </si>
  <si>
    <t>1188-SM-5VDC-DRV-ND</t>
  </si>
  <si>
    <t>https://www.digikey.com/en/products/detail/olimex-ltd/SM-5VDC-DRV/21662223</t>
  </si>
  <si>
    <t>Motor driver</t>
  </si>
  <si>
    <t>5536-L293DN-ND</t>
  </si>
  <si>
    <t>https://www.digikey.com/en/products/detail/taejin/L293DN/22237446</t>
  </si>
  <si>
    <t>Jumper wire kit</t>
  </si>
  <si>
    <t>BKWK-3-ND</t>
  </si>
  <si>
    <t xml:space="preserve">https://www.digikey.com/en/products/detail/global-specialties/WK-3/5231342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</si>
</sst>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2.0"/>
      <color theme="1"/>
      <name val="Aptos Narrow"/>
      <scheme val="minor"/>
    </font>
    <font>
      <b/>
      <sz val="12.0"/>
      <color theme="1"/>
      <name val="Aptos Narrow"/>
    </font>
    <font>
      <sz val="12.0"/>
      <color theme="1"/>
      <name val="Aptos Narrow"/>
    </font>
    <font>
      <sz val="12.0"/>
      <color theme="1"/>
      <name val="Arial"/>
    </font>
    <font>
      <u/>
      <sz val="12.0"/>
      <color theme="10"/>
      <name val="Aptos Narrow"/>
    </font>
    <font>
      <sz val="12.0"/>
      <color rgb="FF444444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readingOrder="0"/>
    </xf>
    <xf borderId="0" fillId="0" fontId="4" numFmtId="0" xfId="0" applyFont="1"/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digikey.com/en/products/detail/seeed-technology-co-ltd/102010634/26553885" TargetMode="External"/><Relationship Id="rId2" Type="http://schemas.openxmlformats.org/officeDocument/2006/relationships/hyperlink" Target="https://www.digikey.com/en/products/detail/olimex-ltd/BREADBOARD-1/21662422" TargetMode="External"/><Relationship Id="rId3" Type="http://schemas.openxmlformats.org/officeDocument/2006/relationships/hyperlink" Target="https://www.digikey.com/en/products/detail/e-switch/TL59AF160Q/390534" TargetMode="External"/><Relationship Id="rId4" Type="http://schemas.openxmlformats.org/officeDocument/2006/relationships/hyperlink" Target="https://www.digikey.com/en/products/detail/CF14JT220R/CF14JT220RCT-ND/1830334" TargetMode="External"/><Relationship Id="rId5" Type="http://schemas.openxmlformats.org/officeDocument/2006/relationships/hyperlink" Target="https://www.digikey.com/en/products/detail/olimex-ltd/SM-5VDC-DRV/21662223" TargetMode="External"/><Relationship Id="rId6" Type="http://schemas.openxmlformats.org/officeDocument/2006/relationships/hyperlink" Target="https://www.digikey.com/en/products/detail/global-specialties/WK-3/5231342" TargetMode="External"/><Relationship Id="rId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5.44"/>
    <col customWidth="1" min="2" max="2" width="15.0"/>
    <col customWidth="1" min="3" max="3" width="28.78"/>
    <col customWidth="1" min="4" max="4" width="22.78"/>
    <col customWidth="1" min="5" max="6" width="8.11"/>
    <col customWidth="1" min="7" max="7" width="7.11"/>
    <col customWidth="1" min="8" max="8" width="10.78"/>
    <col customWidth="1" min="9" max="9" width="26.67"/>
    <col customWidth="1" min="10" max="10" width="10.11"/>
    <col customWidth="1" min="11" max="11" width="22.0"/>
    <col customWidth="1" min="12" max="12" width="10.78"/>
    <col customWidth="1" min="13" max="26" width="10.56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2">
        <v>1.0</v>
      </c>
      <c r="B2" s="2" t="s">
        <v>12</v>
      </c>
      <c r="C2" s="2" t="s">
        <v>13</v>
      </c>
      <c r="D2" s="2" t="s">
        <v>14</v>
      </c>
      <c r="E2" s="3">
        <v>6.0</v>
      </c>
      <c r="F2" s="2">
        <v>8.49</v>
      </c>
      <c r="G2" s="2">
        <f t="shared" ref="G2:G5" si="1">E2*F2</f>
        <v>50.94</v>
      </c>
      <c r="H2" s="2" t="s">
        <v>15</v>
      </c>
      <c r="I2" s="4" t="s">
        <v>16</v>
      </c>
      <c r="J2" s="2" t="s">
        <v>17</v>
      </c>
      <c r="K2" s="2" t="s">
        <v>18</v>
      </c>
      <c r="L2" s="2" t="s">
        <v>11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2">
        <v>2.0</v>
      </c>
      <c r="B3" s="2" t="s">
        <v>12</v>
      </c>
      <c r="C3" s="2" t="s">
        <v>19</v>
      </c>
      <c r="D3" s="5" t="s">
        <v>20</v>
      </c>
      <c r="E3" s="3">
        <v>1.0</v>
      </c>
      <c r="F3" s="2">
        <v>0.59</v>
      </c>
      <c r="G3" s="2">
        <f t="shared" si="1"/>
        <v>0.59</v>
      </c>
      <c r="H3" s="2" t="s">
        <v>15</v>
      </c>
      <c r="I3" s="2" t="s">
        <v>21</v>
      </c>
      <c r="J3" s="2" t="s">
        <v>11</v>
      </c>
      <c r="K3" s="2"/>
      <c r="L3" s="2" t="s">
        <v>11</v>
      </c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2">
        <v>3.0</v>
      </c>
      <c r="B4" s="2" t="s">
        <v>12</v>
      </c>
      <c r="C4" s="2" t="s">
        <v>22</v>
      </c>
      <c r="D4" s="5" t="s">
        <v>23</v>
      </c>
      <c r="E4" s="3">
        <v>1.0</v>
      </c>
      <c r="F4" s="2">
        <v>2.05</v>
      </c>
      <c r="G4" s="2">
        <f t="shared" si="1"/>
        <v>2.05</v>
      </c>
      <c r="H4" s="2" t="s">
        <v>15</v>
      </c>
      <c r="I4" s="4" t="s">
        <v>24</v>
      </c>
      <c r="J4" s="2" t="s">
        <v>11</v>
      </c>
      <c r="K4" s="2"/>
      <c r="L4" s="2" t="s">
        <v>11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2">
        <v>4.0</v>
      </c>
      <c r="B5" s="2" t="s">
        <v>25</v>
      </c>
      <c r="C5" s="2" t="s">
        <v>26</v>
      </c>
      <c r="D5" s="5" t="s">
        <v>27</v>
      </c>
      <c r="E5" s="3">
        <v>2.0</v>
      </c>
      <c r="F5" s="2">
        <v>0.20452</v>
      </c>
      <c r="G5" s="2">
        <f t="shared" si="1"/>
        <v>0.40904</v>
      </c>
      <c r="H5" s="2" t="s">
        <v>15</v>
      </c>
      <c r="I5" s="4" t="s">
        <v>28</v>
      </c>
      <c r="J5" s="2" t="s">
        <v>11</v>
      </c>
      <c r="K5" s="2"/>
      <c r="L5" s="2" t="s">
        <v>11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2">
        <v>5.0</v>
      </c>
      <c r="B6" s="2" t="s">
        <v>29</v>
      </c>
      <c r="C6" s="2" t="s">
        <v>30</v>
      </c>
      <c r="D6" s="5" t="s">
        <v>31</v>
      </c>
      <c r="E6" s="3">
        <v>3.0</v>
      </c>
      <c r="F6" s="2">
        <v>0.01258</v>
      </c>
      <c r="G6" s="2">
        <f>F6*E6</f>
        <v>0.03774</v>
      </c>
      <c r="H6" s="2" t="s">
        <v>15</v>
      </c>
      <c r="I6" s="4" t="s">
        <v>32</v>
      </c>
      <c r="J6" s="2" t="s">
        <v>11</v>
      </c>
      <c r="K6" s="2"/>
      <c r="L6" s="2" t="s">
        <v>11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2">
        <v>6.0</v>
      </c>
      <c r="B7" s="2" t="s">
        <v>33</v>
      </c>
      <c r="C7" s="2" t="s">
        <v>34</v>
      </c>
      <c r="D7" s="2" t="s">
        <v>35</v>
      </c>
      <c r="E7" s="3">
        <v>1.0</v>
      </c>
      <c r="F7" s="2">
        <v>1.95</v>
      </c>
      <c r="G7" s="2">
        <f t="shared" ref="G7:G10" si="2">E7*F7</f>
        <v>1.95</v>
      </c>
      <c r="H7" s="2" t="s">
        <v>15</v>
      </c>
      <c r="I7" s="2" t="s">
        <v>36</v>
      </c>
      <c r="J7" s="2" t="s">
        <v>11</v>
      </c>
      <c r="K7" s="2"/>
      <c r="L7" s="2" t="s">
        <v>11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2">
        <v>7.0</v>
      </c>
      <c r="B8" s="2" t="s">
        <v>33</v>
      </c>
      <c r="C8" s="2" t="s">
        <v>37</v>
      </c>
      <c r="D8" s="5" t="s">
        <v>38</v>
      </c>
      <c r="E8" s="3">
        <v>1.0</v>
      </c>
      <c r="F8" s="2">
        <v>2.93</v>
      </c>
      <c r="G8" s="2">
        <f t="shared" si="2"/>
        <v>2.93</v>
      </c>
      <c r="H8" s="2" t="s">
        <v>15</v>
      </c>
      <c r="I8" s="4" t="s">
        <v>39</v>
      </c>
      <c r="J8" s="2" t="s">
        <v>11</v>
      </c>
      <c r="K8" s="2"/>
      <c r="L8" s="2" t="s">
        <v>11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2">
        <v>8.0</v>
      </c>
      <c r="B9" s="2" t="s">
        <v>33</v>
      </c>
      <c r="C9" s="2" t="s">
        <v>40</v>
      </c>
      <c r="D9" s="5" t="s">
        <v>41</v>
      </c>
      <c r="E9" s="3">
        <v>1.0</v>
      </c>
      <c r="F9" s="2">
        <v>1.73</v>
      </c>
      <c r="G9" s="2">
        <f t="shared" si="2"/>
        <v>1.73</v>
      </c>
      <c r="H9" s="2" t="s">
        <v>15</v>
      </c>
      <c r="I9" s="2" t="s">
        <v>42</v>
      </c>
      <c r="J9" s="2" t="s">
        <v>11</v>
      </c>
      <c r="K9" s="2"/>
      <c r="L9" s="2" t="s">
        <v>11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2">
        <v>9.0</v>
      </c>
      <c r="B10" s="2" t="s">
        <v>33</v>
      </c>
      <c r="C10" s="2" t="s">
        <v>43</v>
      </c>
      <c r="D10" s="5" t="s">
        <v>44</v>
      </c>
      <c r="E10" s="3">
        <v>1.0</v>
      </c>
      <c r="F10" s="2">
        <v>5.6</v>
      </c>
      <c r="G10" s="2">
        <f t="shared" si="2"/>
        <v>5.6</v>
      </c>
      <c r="H10" s="2" t="s">
        <v>15</v>
      </c>
      <c r="I10" s="4" t="s">
        <v>45</v>
      </c>
      <c r="J10" s="2" t="s">
        <v>11</v>
      </c>
      <c r="K10" s="2"/>
      <c r="L10" s="2" t="s">
        <v>11</v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2"/>
      <c r="B12" s="2"/>
      <c r="C12" s="2" t="s">
        <v>6</v>
      </c>
      <c r="D12" s="2"/>
      <c r="E12" s="2"/>
      <c r="F12" s="2"/>
      <c r="G12" s="2">
        <f>SUM(G2:G10)</f>
        <v>66.23678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hyperlinks>
    <hyperlink r:id="rId1" ref="I2"/>
    <hyperlink r:id="rId2" ref="I4"/>
    <hyperlink r:id="rId3" ref="I5"/>
    <hyperlink r:id="rId4" ref="I6"/>
    <hyperlink r:id="rId5" ref="I8"/>
    <hyperlink r:id="rId6" ref="I10"/>
  </hyperlinks>
  <printOptions/>
  <pageMargins bottom="0.75" footer="0.0" header="0.0" left="0.7" right="0.7" top="0.75"/>
  <pageSetup orientation="landscape"/>
  <drawing r:id="rId7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2026-07-15T11:07:45Z</dcterms:created>
  <dc:creator>Little, Thomas</dc:creator>
</cp:coreProperties>
</file>